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b2n\Testing\"/>
    </mc:Choice>
  </mc:AlternateContent>
  <xr:revisionPtr revIDLastSave="0" documentId="13_ncr:1_{8335ED4A-472C-492C-AAC3-89C21D78F3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1" l="1"/>
  <c r="L50" i="1"/>
  <c r="L47" i="1"/>
  <c r="L45" i="1"/>
</calcChain>
</file>

<file path=xl/sharedStrings.xml><?xml version="1.0" encoding="utf-8"?>
<sst xmlns="http://schemas.openxmlformats.org/spreadsheetml/2006/main" count="248" uniqueCount="172">
  <si>
    <t>Status</t>
  </si>
  <si>
    <t>Job #</t>
  </si>
  <si>
    <t>Job Name</t>
  </si>
  <si>
    <t>Client Name</t>
  </si>
  <si>
    <t>Contract Date</t>
  </si>
  <si>
    <t>As Sold Contract Amount</t>
  </si>
  <si>
    <t>Approved Change Orders</t>
  </si>
  <si>
    <t>CO's Added during WIP</t>
  </si>
  <si>
    <t>Current Contract Amount</t>
  </si>
  <si>
    <t>Retainage %</t>
  </si>
  <si>
    <t>Notes</t>
  </si>
  <si>
    <t>Active</t>
  </si>
  <si>
    <t>21108</t>
  </si>
  <si>
    <t>Bedford Correctional Facility WWTP</t>
  </si>
  <si>
    <t>Tam Enterprises</t>
  </si>
  <si>
    <t>Credit to be issued for the project. Vinny to provide more info</t>
  </si>
  <si>
    <t>23072</t>
  </si>
  <si>
    <t>Florida Water Filtration</t>
  </si>
  <si>
    <t>Credit to be issued for this project. TAM completed remaninging work</t>
  </si>
  <si>
    <t>23099</t>
  </si>
  <si>
    <t>Delano Hitch</t>
  </si>
  <si>
    <t>Butler Construction</t>
  </si>
  <si>
    <t>23108</t>
  </si>
  <si>
    <t>WTP Lewisboro</t>
  </si>
  <si>
    <t>24021</t>
  </si>
  <si>
    <t>Twin Towers</t>
  </si>
  <si>
    <t>Worth Construction</t>
  </si>
  <si>
    <t>24027</t>
  </si>
  <si>
    <t>Spencer Field - Croton Harmon</t>
  </si>
  <si>
    <t>Pierotti</t>
  </si>
  <si>
    <t>Project Completed. No more cost projections</t>
  </si>
  <si>
    <t>24030</t>
  </si>
  <si>
    <t>Beacon Pump Station</t>
  </si>
  <si>
    <t>What is the status of this project ? Any further billing or closeout ?</t>
  </si>
  <si>
    <t>24047</t>
  </si>
  <si>
    <t>Brewster H.S</t>
  </si>
  <si>
    <t xml:space="preserve">Issue Credit change Order and Retainage Invoice. </t>
  </si>
  <si>
    <t>24053</t>
  </si>
  <si>
    <t>BOCES -  Orange &amp; Ulster (ArdenHill)</t>
  </si>
  <si>
    <t>Key Construction</t>
  </si>
  <si>
    <t>Change Order confimed vias email. Need full execution</t>
  </si>
  <si>
    <t>24059</t>
  </si>
  <si>
    <t>Valley Cottage - Fisherman</t>
  </si>
  <si>
    <t>ADP Group</t>
  </si>
  <si>
    <t>24062</t>
  </si>
  <si>
    <t>Katonah - John Jay MS</t>
  </si>
  <si>
    <t>Grace Contracting</t>
  </si>
  <si>
    <t xml:space="preserve">Do we need to go back to finish or can we fully bill it out ? Invoice 1 was shortpaid, John has reached out to get more information on this. </t>
  </si>
  <si>
    <t>24073</t>
  </si>
  <si>
    <t>Rockland Pomona</t>
  </si>
  <si>
    <t xml:space="preserve">A credit invoice needs to be issed and the retainage for it to be billed. </t>
  </si>
  <si>
    <t>24130</t>
  </si>
  <si>
    <t>Schlathaus Stage</t>
  </si>
  <si>
    <t>Barone Construction Group</t>
  </si>
  <si>
    <t>24120</t>
  </si>
  <si>
    <t>Church Street Elementary School</t>
  </si>
  <si>
    <t>24058</t>
  </si>
  <si>
    <t>Kerhonkson Wastewater Treatment Facility</t>
  </si>
  <si>
    <t>J Squared Construction</t>
  </si>
  <si>
    <t>24119</t>
  </si>
  <si>
    <t>Mamaroneck Elementary</t>
  </si>
  <si>
    <t>24127</t>
  </si>
  <si>
    <t>Ulster County BOCES Axelrod main building alterations</t>
  </si>
  <si>
    <t>1. Key Construction - 24127; Amount : $21642.18 (Invoice Date : 12/31/2025</t>
  </si>
  <si>
    <t>24126</t>
  </si>
  <si>
    <t>Stony Point Headworks</t>
  </si>
  <si>
    <t xml:space="preserve">Gallo Construction </t>
  </si>
  <si>
    <t>24125</t>
  </si>
  <si>
    <t>Greenwood Lake School</t>
  </si>
  <si>
    <t>25032</t>
  </si>
  <si>
    <t>Roger Ludlowe</t>
  </si>
  <si>
    <t>Derosa Sports</t>
  </si>
  <si>
    <t>24121</t>
  </si>
  <si>
    <t>Patterson EMS Building</t>
  </si>
  <si>
    <t>Nurzia Construction</t>
  </si>
  <si>
    <t>25019</t>
  </si>
  <si>
    <t>Nanuet Union Free School District</t>
  </si>
  <si>
    <t>Mt Olympus</t>
  </si>
  <si>
    <t>25034</t>
  </si>
  <si>
    <t>WL Morse Elementry School</t>
  </si>
  <si>
    <t xml:space="preserve">APS </t>
  </si>
  <si>
    <t>25005</t>
  </si>
  <si>
    <t>Middletown -ECST Cold Storage</t>
  </si>
  <si>
    <t>Malum Excavating</t>
  </si>
  <si>
    <t>24084</t>
  </si>
  <si>
    <t>Cromline Creek</t>
  </si>
  <si>
    <t>TAM</t>
  </si>
  <si>
    <t>25050</t>
  </si>
  <si>
    <t>New Roc HS Stairs</t>
  </si>
  <si>
    <t>GL Group</t>
  </si>
  <si>
    <t>25021</t>
  </si>
  <si>
    <t>Ulster County Operations Center</t>
  </si>
  <si>
    <t>Andron Construction</t>
  </si>
  <si>
    <t>We will need to update the Invoice AIA Inv#4 Operations Center. The last description of Concrete Infill at Duck Banks amounting to $ 6,009.36 have to be moved from previous application to this period.</t>
  </si>
  <si>
    <t>25037</t>
  </si>
  <si>
    <t>Edgemont UFSD</t>
  </si>
  <si>
    <t>25024</t>
  </si>
  <si>
    <t>Ardon Hill - Gym Add</t>
  </si>
  <si>
    <t>24124</t>
  </si>
  <si>
    <t>Maybrook Solar Equipment Pads and Bollards</t>
  </si>
  <si>
    <t>25057</t>
  </si>
  <si>
    <t>Memorial Park Spray Pad</t>
  </si>
  <si>
    <t>Abott and Price</t>
  </si>
  <si>
    <t>25078</t>
  </si>
  <si>
    <t>Ceasars Lane WWTP Phase 1</t>
  </si>
  <si>
    <t>24085</t>
  </si>
  <si>
    <t>Rockland Screening Building Addition</t>
  </si>
  <si>
    <t>Tomar Construction</t>
  </si>
  <si>
    <t>25073</t>
  </si>
  <si>
    <t>Route 118</t>
  </si>
  <si>
    <t>24079</t>
  </si>
  <si>
    <t>Tuxedo Farm Route 17 Culvert</t>
  </si>
  <si>
    <t>Brennan Construction</t>
  </si>
  <si>
    <t>25015</t>
  </si>
  <si>
    <t>South St Parking Garage</t>
  </si>
  <si>
    <t>Malum Exacavation</t>
  </si>
  <si>
    <t>25080</t>
  </si>
  <si>
    <t>Wisner Ave Sidewalk</t>
  </si>
  <si>
    <t>Malum</t>
  </si>
  <si>
    <t>Closed</t>
  </si>
  <si>
    <t>23037</t>
  </si>
  <si>
    <t>Green Haven</t>
  </si>
  <si>
    <t>Nurzia</t>
  </si>
  <si>
    <t>We just collected the retainingae. Have no information on this project</t>
  </si>
  <si>
    <t>24003</t>
  </si>
  <si>
    <t>Warawrsing</t>
  </si>
  <si>
    <t>Tam</t>
  </si>
  <si>
    <t xml:space="preserve">Retainage Collected. Bill to confirm. </t>
  </si>
  <si>
    <t>23038</t>
  </si>
  <si>
    <t xml:space="preserve">Crawford Pine Bush Well Site - GC Contract </t>
  </si>
  <si>
    <t>24086</t>
  </si>
  <si>
    <t>Veolia Monsey Monople</t>
  </si>
  <si>
    <t>Innovative Excavating</t>
  </si>
  <si>
    <t xml:space="preserve">All nivoices has been collected and hence the project is inactive. </t>
  </si>
  <si>
    <t>20161</t>
  </si>
  <si>
    <t>Town of Wawarsing- Water District WTP</t>
  </si>
  <si>
    <t>23015</t>
  </si>
  <si>
    <t>JFK Elementary</t>
  </si>
  <si>
    <t>Retainage</t>
  </si>
  <si>
    <t>23082</t>
  </si>
  <si>
    <t>Beacon School</t>
  </si>
  <si>
    <t>We have a retainingage of 3590 to be collected. Bill to provide recommendation</t>
  </si>
  <si>
    <t>23088</t>
  </si>
  <si>
    <t>Ellenville</t>
  </si>
  <si>
    <t>Empire Core</t>
  </si>
  <si>
    <t>Contractor went under</t>
  </si>
  <si>
    <t>23120</t>
  </si>
  <si>
    <t>Ramapo HS</t>
  </si>
  <si>
    <t>We have a retainage of 2440.810 to be collected. Bill to provide recommendation</t>
  </si>
  <si>
    <t>23121</t>
  </si>
  <si>
    <t>Valve Vault Poughkeepsie</t>
  </si>
  <si>
    <t>John to confirm if there is a retaininge pending on this project to be collected. Update A/R sheet once we have insights on this retainage</t>
  </si>
  <si>
    <t>24038</t>
  </si>
  <si>
    <t>Beacon School - Change Order</t>
  </si>
  <si>
    <t>John to confirm if retaiinage is pending on this project. Update A/R sheet once we have insights on this retainage</t>
  </si>
  <si>
    <t>24068</t>
  </si>
  <si>
    <t xml:space="preserve">Valley Central </t>
  </si>
  <si>
    <t>We have a retainage of 2,650.00 to be collected. Bill to provide recommendation</t>
  </si>
  <si>
    <t>21062</t>
  </si>
  <si>
    <t>SUNY Backflow &amp; Pump Station</t>
  </si>
  <si>
    <t>All State Construction</t>
  </si>
  <si>
    <t>We have a retainage of 8343.03 to be collected. Bill to provide recommendation</t>
  </si>
  <si>
    <t>To Begin</t>
  </si>
  <si>
    <t>25066</t>
  </si>
  <si>
    <t>Peekskill Admin Building</t>
  </si>
  <si>
    <t>25059</t>
  </si>
  <si>
    <t>Tapanzee HS Auditorium</t>
  </si>
  <si>
    <t>BLH</t>
  </si>
  <si>
    <t>25067</t>
  </si>
  <si>
    <t>Rockland Green</t>
  </si>
  <si>
    <t>Paula Billings</t>
  </si>
  <si>
    <t>Total Budgeted Cost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</si>
</sst>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_(&quot;$&quot;* #,##0.00_);_(&quot;$&quot;* \(#,##0.00\);_(&quot;$&quot;* &quot;-&quot;??_);_(@_)"/>
    <numFmt numFmtId="167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165" fontId="4" fillId="0" borderId="2" xfId="1" applyNumberFormat="1" applyFont="1" applyFill="1" applyBorder="1" applyAlignment="1">
      <alignment vertical="center"/>
    </xf>
    <xf numFmtId="165" fontId="4" fillId="0" borderId="1" xfId="0" applyNumberFormat="1" applyFont="1" applyBorder="1"/>
    <xf numFmtId="165" fontId="4" fillId="0" borderId="3" xfId="0" applyNumberFormat="1" applyFont="1" applyBorder="1"/>
    <xf numFmtId="165" fontId="4" fillId="0" borderId="3" xfId="1" applyNumberFormat="1" applyFont="1" applyFill="1" applyBorder="1"/>
    <xf numFmtId="165" fontId="5" fillId="0" borderId="1" xfId="0" applyNumberFormat="1" applyFont="1" applyBorder="1"/>
    <xf numFmtId="165" fontId="5" fillId="0" borderId="3" xfId="0" applyNumberFormat="1" applyFont="1" applyBorder="1"/>
    <xf numFmtId="167" fontId="5" fillId="0" borderId="1" xfId="0" applyNumberFormat="1" applyFont="1" applyBorder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4" fillId="0" borderId="2" xfId="0" applyNumberFormat="1" applyFont="1" applyBorder="1"/>
    <xf numFmtId="0" fontId="5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5">
    <dxf>
      <font>
        <strike val="0"/>
        <color rgb="FFFF0000"/>
      </font>
    </dxf>
    <dxf>
      <font>
        <color rgb="FFFF0000"/>
      </font>
      <border>
        <vertical/>
        <horizontal/>
      </border>
    </dxf>
    <dxf>
      <font>
        <color rgb="FFFF0000"/>
      </font>
      <border>
        <vertical/>
        <horizontal/>
      </border>
    </dxf>
    <dxf>
      <font>
        <color rgb="FFFF0000"/>
      </font>
      <border>
        <vertical/>
        <horizontal/>
      </border>
    </dxf>
    <dxf>
      <font>
        <color rgb="FFFF0000"/>
      </font>
      <border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I1" workbookViewId="0">
      <selection activeCell="M37" sqref="M37"/>
    </sheetView>
  </sheetViews>
  <sheetFormatPr defaultColWidth="29.36328125" defaultRowHeight="14.5" x14ac:dyDescent="0.35"/>
  <cols>
    <col min="13" max="13" width="26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170</v>
      </c>
      <c r="M1" s="19" t="s">
        <v>171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s="2">
        <v>44690</v>
      </c>
      <c r="F2">
        <v>954500</v>
      </c>
      <c r="G2">
        <v>16174</v>
      </c>
      <c r="H2">
        <v>-13180</v>
      </c>
      <c r="J2">
        <v>0.05</v>
      </c>
      <c r="K2" t="s">
        <v>15</v>
      </c>
      <c r="L2" s="7">
        <v>857769</v>
      </c>
      <c r="M2" s="7">
        <v>776539.20000000007</v>
      </c>
    </row>
    <row r="3" spans="1:13" x14ac:dyDescent="0.35">
      <c r="A3" t="s">
        <v>11</v>
      </c>
      <c r="B3" t="s">
        <v>16</v>
      </c>
      <c r="C3" t="s">
        <v>17</v>
      </c>
      <c r="D3" t="s">
        <v>14</v>
      </c>
      <c r="F3">
        <v>173000</v>
      </c>
      <c r="G3">
        <v>0</v>
      </c>
      <c r="H3">
        <v>-106575</v>
      </c>
      <c r="J3">
        <v>0.05</v>
      </c>
      <c r="K3" t="s">
        <v>18</v>
      </c>
      <c r="L3" s="7">
        <v>66425</v>
      </c>
      <c r="M3" s="7">
        <v>53140</v>
      </c>
    </row>
    <row r="4" spans="1:13" x14ac:dyDescent="0.35">
      <c r="A4" t="s">
        <v>11</v>
      </c>
      <c r="B4" t="s">
        <v>19</v>
      </c>
      <c r="C4" t="s">
        <v>20</v>
      </c>
      <c r="D4" t="s">
        <v>21</v>
      </c>
      <c r="F4">
        <v>315000</v>
      </c>
      <c r="G4">
        <v>28100</v>
      </c>
      <c r="H4">
        <v>0</v>
      </c>
      <c r="J4">
        <v>0.05</v>
      </c>
      <c r="L4" s="4">
        <v>316100</v>
      </c>
      <c r="M4" s="8">
        <v>274480</v>
      </c>
    </row>
    <row r="5" spans="1:13" x14ac:dyDescent="0.35">
      <c r="A5" t="s">
        <v>11</v>
      </c>
      <c r="B5" t="s">
        <v>22</v>
      </c>
      <c r="C5" t="s">
        <v>23</v>
      </c>
      <c r="D5" t="s">
        <v>14</v>
      </c>
      <c r="F5">
        <v>299500</v>
      </c>
      <c r="G5">
        <v>5994.45</v>
      </c>
      <c r="H5">
        <v>-2400</v>
      </c>
      <c r="J5">
        <v>0.05</v>
      </c>
      <c r="L5" s="5">
        <v>82250</v>
      </c>
      <c r="M5" s="7">
        <v>243275</v>
      </c>
    </row>
    <row r="6" spans="1:13" x14ac:dyDescent="0.35">
      <c r="A6" t="s">
        <v>11</v>
      </c>
      <c r="B6" t="s">
        <v>24</v>
      </c>
      <c r="C6" t="s">
        <v>25</v>
      </c>
      <c r="D6" t="s">
        <v>26</v>
      </c>
      <c r="F6">
        <v>2700000</v>
      </c>
      <c r="G6">
        <v>365534.5</v>
      </c>
      <c r="J6">
        <v>0.05</v>
      </c>
      <c r="L6" s="5">
        <v>1099150</v>
      </c>
      <c r="M6" s="7">
        <v>2268495.5299999998</v>
      </c>
    </row>
    <row r="7" spans="1:13" x14ac:dyDescent="0.35">
      <c r="A7" t="s">
        <v>11</v>
      </c>
      <c r="B7" t="s">
        <v>27</v>
      </c>
      <c r="C7" t="s">
        <v>28</v>
      </c>
      <c r="D7" t="s">
        <v>29</v>
      </c>
      <c r="F7">
        <v>108000</v>
      </c>
      <c r="G7">
        <v>0</v>
      </c>
      <c r="H7">
        <v>0</v>
      </c>
      <c r="J7">
        <v>0.05</v>
      </c>
      <c r="K7" t="s">
        <v>30</v>
      </c>
      <c r="L7" s="4">
        <v>78600</v>
      </c>
      <c r="M7" s="9">
        <v>81000</v>
      </c>
    </row>
    <row r="8" spans="1:13" x14ac:dyDescent="0.35">
      <c r="A8" t="s">
        <v>11</v>
      </c>
      <c r="B8" t="s">
        <v>31</v>
      </c>
      <c r="C8" t="s">
        <v>32</v>
      </c>
      <c r="D8" t="s">
        <v>14</v>
      </c>
      <c r="F8">
        <v>25600</v>
      </c>
      <c r="G8">
        <v>1381.53</v>
      </c>
      <c r="H8">
        <v>-4530.53</v>
      </c>
      <c r="J8">
        <v>0.05</v>
      </c>
      <c r="K8" t="s">
        <v>33</v>
      </c>
      <c r="L8" s="5">
        <v>22451</v>
      </c>
      <c r="M8" s="7">
        <v>16838.25</v>
      </c>
    </row>
    <row r="9" spans="1:13" x14ac:dyDescent="0.35">
      <c r="A9" t="s">
        <v>11</v>
      </c>
      <c r="B9" t="s">
        <v>34</v>
      </c>
      <c r="C9" t="s">
        <v>35</v>
      </c>
      <c r="D9" t="s">
        <v>29</v>
      </c>
      <c r="F9">
        <v>65785</v>
      </c>
      <c r="J9">
        <v>0.05</v>
      </c>
      <c r="K9" t="s">
        <v>36</v>
      </c>
      <c r="L9" s="5">
        <v>60135</v>
      </c>
      <c r="M9" s="7">
        <v>52628</v>
      </c>
    </row>
    <row r="10" spans="1:13" x14ac:dyDescent="0.35">
      <c r="A10" t="s">
        <v>11</v>
      </c>
      <c r="B10" t="s">
        <v>37</v>
      </c>
      <c r="C10" t="s">
        <v>38</v>
      </c>
      <c r="D10" t="s">
        <v>39</v>
      </c>
      <c r="F10">
        <v>269000</v>
      </c>
      <c r="G10">
        <v>19008</v>
      </c>
      <c r="J10">
        <v>0.05</v>
      </c>
      <c r="K10" t="s">
        <v>40</v>
      </c>
      <c r="L10" s="5">
        <v>33625</v>
      </c>
      <c r="M10" s="7">
        <v>230406.40000000002</v>
      </c>
    </row>
    <row r="11" spans="1:13" x14ac:dyDescent="0.35">
      <c r="A11" t="s">
        <v>11</v>
      </c>
      <c r="B11" t="s">
        <v>41</v>
      </c>
      <c r="C11" t="s">
        <v>42</v>
      </c>
      <c r="D11" t="s">
        <v>43</v>
      </c>
      <c r="F11">
        <v>148000</v>
      </c>
      <c r="G11">
        <v>-800</v>
      </c>
      <c r="J11">
        <v>0.05</v>
      </c>
      <c r="L11" s="5">
        <v>0</v>
      </c>
      <c r="M11" s="7">
        <v>106309.73</v>
      </c>
    </row>
    <row r="12" spans="1:13" x14ac:dyDescent="0.35">
      <c r="A12" t="s">
        <v>11</v>
      </c>
      <c r="B12" t="s">
        <v>44</v>
      </c>
      <c r="C12" t="s">
        <v>45</v>
      </c>
      <c r="D12" t="s">
        <v>46</v>
      </c>
      <c r="F12">
        <v>84320</v>
      </c>
      <c r="G12">
        <v>551.21</v>
      </c>
      <c r="J12">
        <v>0.05</v>
      </c>
      <c r="K12" t="s">
        <v>47</v>
      </c>
      <c r="L12" s="4">
        <v>27849.63157894737</v>
      </c>
      <c r="M12" s="8">
        <v>67896.968000000008</v>
      </c>
    </row>
    <row r="13" spans="1:13" x14ac:dyDescent="0.35">
      <c r="A13" t="s">
        <v>11</v>
      </c>
      <c r="B13" t="s">
        <v>48</v>
      </c>
      <c r="C13" t="s">
        <v>49</v>
      </c>
      <c r="D13" t="s">
        <v>43</v>
      </c>
      <c r="F13">
        <v>68100</v>
      </c>
      <c r="H13">
        <v>-22080</v>
      </c>
      <c r="J13">
        <v>0.05</v>
      </c>
      <c r="K13" t="s">
        <v>50</v>
      </c>
      <c r="L13" s="5">
        <v>46020</v>
      </c>
      <c r="M13" s="7">
        <v>36816</v>
      </c>
    </row>
    <row r="14" spans="1:13" x14ac:dyDescent="0.35">
      <c r="A14" t="s">
        <v>11</v>
      </c>
      <c r="B14" t="s">
        <v>51</v>
      </c>
      <c r="C14" t="s">
        <v>52</v>
      </c>
      <c r="D14" t="s">
        <v>53</v>
      </c>
      <c r="E14" s="2">
        <v>45686</v>
      </c>
      <c r="F14">
        <v>152000</v>
      </c>
      <c r="G14">
        <v>0</v>
      </c>
      <c r="H14">
        <v>0</v>
      </c>
      <c r="J14">
        <v>0.05</v>
      </c>
      <c r="K14" t="s">
        <v>30</v>
      </c>
      <c r="L14" s="5">
        <v>0</v>
      </c>
      <c r="M14" s="7">
        <v>115747.288</v>
      </c>
    </row>
    <row r="15" spans="1:13" x14ac:dyDescent="0.35">
      <c r="A15" t="s">
        <v>11</v>
      </c>
      <c r="B15" t="s">
        <v>54</v>
      </c>
      <c r="C15" t="s">
        <v>55</v>
      </c>
      <c r="D15" t="s">
        <v>29</v>
      </c>
      <c r="E15" s="2">
        <v>45698</v>
      </c>
      <c r="F15">
        <v>68500</v>
      </c>
      <c r="G15">
        <v>0</v>
      </c>
      <c r="J15">
        <v>0.1</v>
      </c>
      <c r="L15" s="5">
        <v>0</v>
      </c>
      <c r="M15" s="10">
        <v>51375</v>
      </c>
    </row>
    <row r="16" spans="1:13" x14ac:dyDescent="0.35">
      <c r="A16" t="s">
        <v>11</v>
      </c>
      <c r="B16" t="s">
        <v>56</v>
      </c>
      <c r="C16" t="s">
        <v>57</v>
      </c>
      <c r="D16" t="s">
        <v>58</v>
      </c>
      <c r="F16">
        <v>418200</v>
      </c>
      <c r="G16">
        <v>34750</v>
      </c>
      <c r="J16">
        <v>0.05</v>
      </c>
      <c r="L16" s="5">
        <v>0</v>
      </c>
      <c r="M16" s="10">
        <v>332494.07399999996</v>
      </c>
    </row>
    <row r="17" spans="1:13" x14ac:dyDescent="0.35">
      <c r="A17" t="s">
        <v>11</v>
      </c>
      <c r="B17" t="s">
        <v>59</v>
      </c>
      <c r="C17" t="s">
        <v>60</v>
      </c>
      <c r="D17" t="s">
        <v>29</v>
      </c>
      <c r="E17" s="2">
        <v>45720</v>
      </c>
      <c r="F17">
        <v>15500</v>
      </c>
      <c r="G17">
        <v>0</v>
      </c>
      <c r="J17">
        <v>0.1</v>
      </c>
      <c r="L17" s="4">
        <v>0</v>
      </c>
      <c r="M17" s="11">
        <v>11625</v>
      </c>
    </row>
    <row r="18" spans="1:13" x14ac:dyDescent="0.35">
      <c r="A18" t="s">
        <v>11</v>
      </c>
      <c r="B18" t="s">
        <v>61</v>
      </c>
      <c r="C18" t="s">
        <v>62</v>
      </c>
      <c r="D18" t="s">
        <v>39</v>
      </c>
      <c r="F18">
        <v>557500</v>
      </c>
      <c r="G18">
        <v>-1925</v>
      </c>
      <c r="H18">
        <v>17981.48</v>
      </c>
      <c r="J18">
        <v>0.05</v>
      </c>
      <c r="K18" t="s">
        <v>63</v>
      </c>
      <c r="L18" s="5">
        <v>0</v>
      </c>
      <c r="M18" s="10">
        <v>404776</v>
      </c>
    </row>
    <row r="19" spans="1:13" x14ac:dyDescent="0.35">
      <c r="A19" t="s">
        <v>11</v>
      </c>
      <c r="B19" t="s">
        <v>64</v>
      </c>
      <c r="C19" t="s">
        <v>65</v>
      </c>
      <c r="D19" t="s">
        <v>66</v>
      </c>
      <c r="E19" s="2">
        <v>45699</v>
      </c>
      <c r="F19">
        <v>1065000</v>
      </c>
      <c r="G19">
        <v>0</v>
      </c>
      <c r="H19">
        <v>0</v>
      </c>
      <c r="J19">
        <v>0.05</v>
      </c>
      <c r="L19" s="5">
        <v>0</v>
      </c>
      <c r="M19" s="10">
        <v>892591</v>
      </c>
    </row>
    <row r="20" spans="1:13" x14ac:dyDescent="0.35">
      <c r="A20" t="s">
        <v>11</v>
      </c>
      <c r="B20" t="s">
        <v>67</v>
      </c>
      <c r="C20" t="s">
        <v>68</v>
      </c>
      <c r="D20" t="s">
        <v>21</v>
      </c>
      <c r="F20">
        <v>55000</v>
      </c>
      <c r="G20">
        <v>0</v>
      </c>
      <c r="H20">
        <v>-1000</v>
      </c>
      <c r="J20">
        <v>0.1</v>
      </c>
      <c r="L20" s="5">
        <v>0</v>
      </c>
      <c r="M20" s="10">
        <v>40500</v>
      </c>
    </row>
    <row r="21" spans="1:13" x14ac:dyDescent="0.35">
      <c r="A21" t="s">
        <v>11</v>
      </c>
      <c r="B21" t="s">
        <v>69</v>
      </c>
      <c r="C21" t="s">
        <v>70</v>
      </c>
      <c r="D21" t="s">
        <v>71</v>
      </c>
      <c r="E21" s="2">
        <v>45734</v>
      </c>
      <c r="F21">
        <v>168500</v>
      </c>
      <c r="G21">
        <v>0</v>
      </c>
      <c r="H21">
        <v>0</v>
      </c>
      <c r="J21">
        <v>0</v>
      </c>
      <c r="K21" t="s">
        <v>30</v>
      </c>
      <c r="L21" s="5">
        <v>0</v>
      </c>
      <c r="M21" s="10">
        <v>124012.65599999999</v>
      </c>
    </row>
    <row r="22" spans="1:13" x14ac:dyDescent="0.35">
      <c r="A22" t="s">
        <v>11</v>
      </c>
      <c r="B22" t="s">
        <v>72</v>
      </c>
      <c r="C22" t="s">
        <v>73</v>
      </c>
      <c r="D22" t="s">
        <v>74</v>
      </c>
      <c r="E22" s="2">
        <v>45708</v>
      </c>
      <c r="F22">
        <v>154000</v>
      </c>
      <c r="G22">
        <v>0</v>
      </c>
      <c r="H22">
        <v>0</v>
      </c>
      <c r="J22">
        <v>0.05</v>
      </c>
      <c r="L22" s="5">
        <v>0</v>
      </c>
      <c r="M22" s="10">
        <v>115500</v>
      </c>
    </row>
    <row r="23" spans="1:13" x14ac:dyDescent="0.35">
      <c r="A23" t="s">
        <v>11</v>
      </c>
      <c r="B23" t="s">
        <v>75</v>
      </c>
      <c r="C23" t="s">
        <v>76</v>
      </c>
      <c r="D23" t="s">
        <v>77</v>
      </c>
      <c r="E23" s="2">
        <v>45791</v>
      </c>
      <c r="F23">
        <v>65500</v>
      </c>
      <c r="G23">
        <v>750</v>
      </c>
      <c r="H23">
        <v>0</v>
      </c>
      <c r="J23">
        <v>0</v>
      </c>
      <c r="L23" s="4">
        <v>0</v>
      </c>
      <c r="M23" s="11">
        <v>49687.5</v>
      </c>
    </row>
    <row r="24" spans="1:13" x14ac:dyDescent="0.35">
      <c r="A24" t="s">
        <v>11</v>
      </c>
      <c r="B24" t="s">
        <v>78</v>
      </c>
      <c r="C24" t="s">
        <v>79</v>
      </c>
      <c r="D24" t="s">
        <v>80</v>
      </c>
      <c r="E24" s="2">
        <v>45757</v>
      </c>
      <c r="F24">
        <v>708000</v>
      </c>
      <c r="G24">
        <v>8680</v>
      </c>
      <c r="H24">
        <v>0</v>
      </c>
      <c r="J24">
        <v>0.05</v>
      </c>
      <c r="L24" s="5">
        <v>0</v>
      </c>
      <c r="M24" s="12">
        <v>502980.46</v>
      </c>
    </row>
    <row r="25" spans="1:13" x14ac:dyDescent="0.35">
      <c r="A25" t="s">
        <v>11</v>
      </c>
      <c r="B25" t="s">
        <v>81</v>
      </c>
      <c r="C25" t="s">
        <v>82</v>
      </c>
      <c r="D25" t="s">
        <v>83</v>
      </c>
      <c r="E25" s="2">
        <v>45772</v>
      </c>
      <c r="F25">
        <v>86000</v>
      </c>
      <c r="G25">
        <v>19950</v>
      </c>
      <c r="H25">
        <v>0</v>
      </c>
      <c r="J25">
        <v>0.05</v>
      </c>
      <c r="K25" t="s">
        <v>30</v>
      </c>
      <c r="L25" s="5">
        <v>0</v>
      </c>
      <c r="M25" s="10">
        <v>79462.5</v>
      </c>
    </row>
    <row r="26" spans="1:13" x14ac:dyDescent="0.35">
      <c r="A26" t="s">
        <v>11</v>
      </c>
      <c r="B26" t="s">
        <v>84</v>
      </c>
      <c r="C26" t="s">
        <v>85</v>
      </c>
      <c r="D26" t="s">
        <v>86</v>
      </c>
      <c r="E26" s="2">
        <v>45782</v>
      </c>
      <c r="F26">
        <v>175600</v>
      </c>
      <c r="G26">
        <v>3500</v>
      </c>
      <c r="H26">
        <v>-2085.33</v>
      </c>
      <c r="J26">
        <v>0.05</v>
      </c>
      <c r="L26" s="5">
        <v>0</v>
      </c>
      <c r="M26" s="10">
        <v>132761.0025</v>
      </c>
    </row>
    <row r="27" spans="1:13" x14ac:dyDescent="0.35">
      <c r="A27" t="s">
        <v>11</v>
      </c>
      <c r="B27" t="s">
        <v>87</v>
      </c>
      <c r="C27" t="s">
        <v>88</v>
      </c>
      <c r="D27" t="s">
        <v>89</v>
      </c>
      <c r="E27" s="2">
        <v>45783</v>
      </c>
      <c r="F27">
        <v>260000</v>
      </c>
      <c r="G27">
        <v>32000</v>
      </c>
      <c r="H27">
        <v>-57150</v>
      </c>
      <c r="J27">
        <v>0.05</v>
      </c>
      <c r="L27" s="5">
        <v>0</v>
      </c>
      <c r="M27" s="10">
        <v>176137.5</v>
      </c>
    </row>
    <row r="28" spans="1:13" x14ac:dyDescent="0.35">
      <c r="A28" t="s">
        <v>11</v>
      </c>
      <c r="B28" t="s">
        <v>90</v>
      </c>
      <c r="C28" t="s">
        <v>91</v>
      </c>
      <c r="D28" t="s">
        <v>92</v>
      </c>
      <c r="E28" s="2">
        <v>45825</v>
      </c>
      <c r="F28">
        <v>1334000</v>
      </c>
      <c r="G28">
        <v>70000</v>
      </c>
      <c r="H28">
        <v>0</v>
      </c>
      <c r="J28">
        <v>0.05</v>
      </c>
      <c r="K28" t="s">
        <v>93</v>
      </c>
      <c r="L28" s="5">
        <v>0</v>
      </c>
      <c r="M28" s="10">
        <v>1017584.18</v>
      </c>
    </row>
    <row r="29" spans="1:13" x14ac:dyDescent="0.35">
      <c r="A29" t="s">
        <v>11</v>
      </c>
      <c r="B29" t="s">
        <v>94</v>
      </c>
      <c r="C29" t="s">
        <v>95</v>
      </c>
      <c r="D29" t="s">
        <v>29</v>
      </c>
      <c r="E29" s="2">
        <v>45798</v>
      </c>
      <c r="F29">
        <v>345000</v>
      </c>
      <c r="G29">
        <v>0</v>
      </c>
      <c r="H29">
        <v>0</v>
      </c>
      <c r="J29">
        <v>0.05</v>
      </c>
      <c r="L29" s="5">
        <v>0</v>
      </c>
      <c r="M29" s="10">
        <v>305894</v>
      </c>
    </row>
    <row r="30" spans="1:13" x14ac:dyDescent="0.35">
      <c r="A30" t="s">
        <v>11</v>
      </c>
      <c r="B30" t="s">
        <v>96</v>
      </c>
      <c r="C30" t="s">
        <v>97</v>
      </c>
      <c r="D30" t="s">
        <v>92</v>
      </c>
      <c r="E30" s="2">
        <v>45832</v>
      </c>
      <c r="F30">
        <v>499000</v>
      </c>
      <c r="G30">
        <v>4359.9799999999996</v>
      </c>
      <c r="H30">
        <v>0</v>
      </c>
      <c r="J30">
        <v>0.05</v>
      </c>
      <c r="L30" s="5">
        <v>0</v>
      </c>
      <c r="M30" s="10">
        <v>422058.3</v>
      </c>
    </row>
    <row r="31" spans="1:13" x14ac:dyDescent="0.35">
      <c r="A31" t="s">
        <v>11</v>
      </c>
      <c r="B31" t="s">
        <v>98</v>
      </c>
      <c r="C31" t="s">
        <v>99</v>
      </c>
      <c r="D31" t="s">
        <v>21</v>
      </c>
      <c r="E31" s="2">
        <v>45863</v>
      </c>
      <c r="F31">
        <v>43000</v>
      </c>
      <c r="G31">
        <v>0</v>
      </c>
      <c r="H31">
        <v>-3600</v>
      </c>
      <c r="J31">
        <v>0.05</v>
      </c>
      <c r="L31" s="5">
        <v>0</v>
      </c>
      <c r="M31" s="10">
        <v>29550</v>
      </c>
    </row>
    <row r="32" spans="1:13" x14ac:dyDescent="0.35">
      <c r="A32" t="s">
        <v>11</v>
      </c>
      <c r="B32" t="s">
        <v>100</v>
      </c>
      <c r="C32" t="s">
        <v>101</v>
      </c>
      <c r="D32" t="s">
        <v>102</v>
      </c>
      <c r="F32">
        <v>61833.599999999999</v>
      </c>
      <c r="G32">
        <v>0</v>
      </c>
      <c r="H32">
        <v>-1937.5</v>
      </c>
      <c r="J32">
        <v>0.05</v>
      </c>
      <c r="L32" s="7">
        <v>0</v>
      </c>
      <c r="M32" s="10">
        <v>44922.074999999997</v>
      </c>
    </row>
    <row r="33" spans="1:13" x14ac:dyDescent="0.35">
      <c r="A33" t="s">
        <v>11</v>
      </c>
      <c r="B33" t="s">
        <v>103</v>
      </c>
      <c r="C33" t="s">
        <v>104</v>
      </c>
      <c r="D33" t="s">
        <v>53</v>
      </c>
      <c r="F33">
        <v>30000</v>
      </c>
      <c r="J33">
        <v>0</v>
      </c>
      <c r="L33" s="7"/>
      <c r="M33" s="10">
        <v>22500</v>
      </c>
    </row>
    <row r="34" spans="1:13" x14ac:dyDescent="0.35">
      <c r="A34" t="s">
        <v>11</v>
      </c>
      <c r="B34" t="s">
        <v>105</v>
      </c>
      <c r="C34" t="s">
        <v>106</v>
      </c>
      <c r="D34" t="s">
        <v>107</v>
      </c>
      <c r="F34">
        <v>260000</v>
      </c>
      <c r="G34">
        <v>18450</v>
      </c>
      <c r="J34">
        <v>7.4999999999999997E-2</v>
      </c>
      <c r="L34" s="7"/>
      <c r="M34" s="10">
        <v>208837.5</v>
      </c>
    </row>
    <row r="35" spans="1:13" x14ac:dyDescent="0.35">
      <c r="A35" t="s">
        <v>11</v>
      </c>
      <c r="B35" t="s">
        <v>108</v>
      </c>
      <c r="C35" t="s">
        <v>109</v>
      </c>
      <c r="D35" t="s">
        <v>102</v>
      </c>
      <c r="F35">
        <v>91188</v>
      </c>
      <c r="J35">
        <v>0.05</v>
      </c>
      <c r="L35" s="7"/>
      <c r="M35" s="10">
        <v>68391</v>
      </c>
    </row>
    <row r="36" spans="1:13" x14ac:dyDescent="0.35">
      <c r="A36" t="s">
        <v>11</v>
      </c>
      <c r="B36" t="s">
        <v>110</v>
      </c>
      <c r="C36" t="s">
        <v>111</v>
      </c>
      <c r="D36" t="s">
        <v>112</v>
      </c>
      <c r="F36">
        <v>179241</v>
      </c>
      <c r="G36">
        <v>0</v>
      </c>
      <c r="H36">
        <v>0</v>
      </c>
      <c r="J36">
        <v>0.05</v>
      </c>
      <c r="L36" s="5">
        <v>0</v>
      </c>
      <c r="M36" s="10">
        <v>134430.75</v>
      </c>
    </row>
    <row r="37" spans="1:13" x14ac:dyDescent="0.35">
      <c r="A37" t="s">
        <v>11</v>
      </c>
      <c r="B37" t="s">
        <v>113</v>
      </c>
      <c r="C37" t="s">
        <v>114</v>
      </c>
      <c r="D37" t="s">
        <v>115</v>
      </c>
      <c r="F37">
        <v>887000</v>
      </c>
      <c r="J37">
        <v>0.05</v>
      </c>
      <c r="L37" s="7"/>
      <c r="M37" s="10">
        <v>665250</v>
      </c>
    </row>
    <row r="38" spans="1:13" x14ac:dyDescent="0.35">
      <c r="A38" t="s">
        <v>11</v>
      </c>
      <c r="B38" t="s">
        <v>116</v>
      </c>
      <c r="C38" t="s">
        <v>117</v>
      </c>
      <c r="D38" t="s">
        <v>118</v>
      </c>
      <c r="F38">
        <v>7200</v>
      </c>
      <c r="J38">
        <v>0</v>
      </c>
      <c r="L38" s="5"/>
      <c r="M38" s="13"/>
    </row>
    <row r="39" spans="1:13" x14ac:dyDescent="0.35">
      <c r="A39" t="s">
        <v>119</v>
      </c>
      <c r="B39" t="s">
        <v>120</v>
      </c>
      <c r="C39" t="s">
        <v>121</v>
      </c>
      <c r="D39" t="s">
        <v>122</v>
      </c>
      <c r="F39">
        <v>186586.6</v>
      </c>
      <c r="J39">
        <v>0.05</v>
      </c>
      <c r="K39" t="s">
        <v>123</v>
      </c>
      <c r="L39" s="5">
        <v>186586.59999999998</v>
      </c>
      <c r="M39" s="14"/>
    </row>
    <row r="40" spans="1:13" x14ac:dyDescent="0.35">
      <c r="A40" t="s">
        <v>119</v>
      </c>
      <c r="B40" t="s">
        <v>124</v>
      </c>
      <c r="C40" t="s">
        <v>125</v>
      </c>
      <c r="D40" t="s">
        <v>126</v>
      </c>
      <c r="F40">
        <v>44000</v>
      </c>
      <c r="G40">
        <v>-1700</v>
      </c>
      <c r="J40">
        <v>0.05</v>
      </c>
      <c r="K40" t="s">
        <v>127</v>
      </c>
      <c r="L40" s="5">
        <v>42300</v>
      </c>
      <c r="M40" s="15"/>
    </row>
    <row r="41" spans="1:13" x14ac:dyDescent="0.35">
      <c r="A41" t="s">
        <v>119</v>
      </c>
      <c r="B41" t="s">
        <v>128</v>
      </c>
      <c r="C41" t="s">
        <v>129</v>
      </c>
      <c r="D41" t="s">
        <v>126</v>
      </c>
      <c r="F41">
        <v>44053.2</v>
      </c>
      <c r="J41">
        <v>0.05</v>
      </c>
      <c r="K41" t="s">
        <v>127</v>
      </c>
      <c r="L41" s="5">
        <v>44053.2</v>
      </c>
      <c r="M41" s="16"/>
    </row>
    <row r="42" spans="1:13" x14ac:dyDescent="0.35">
      <c r="A42" t="s">
        <v>119</v>
      </c>
      <c r="B42" t="s">
        <v>130</v>
      </c>
      <c r="C42" t="s">
        <v>131</v>
      </c>
      <c r="D42" t="s">
        <v>132</v>
      </c>
      <c r="F42">
        <v>50000</v>
      </c>
      <c r="J42">
        <v>0</v>
      </c>
      <c r="K42" t="s">
        <v>133</v>
      </c>
      <c r="L42" s="5">
        <v>50000</v>
      </c>
      <c r="M42" s="15"/>
    </row>
    <row r="43" spans="1:13" x14ac:dyDescent="0.35">
      <c r="A43" t="s">
        <v>119</v>
      </c>
      <c r="B43" t="s">
        <v>134</v>
      </c>
      <c r="C43" t="s">
        <v>135</v>
      </c>
      <c r="D43" t="s">
        <v>86</v>
      </c>
      <c r="F43">
        <v>344000</v>
      </c>
      <c r="J43">
        <v>0.05</v>
      </c>
      <c r="L43" s="5">
        <v>344000</v>
      </c>
      <c r="M43" s="13"/>
    </row>
    <row r="44" spans="1:13" x14ac:dyDescent="0.35">
      <c r="A44" t="s">
        <v>119</v>
      </c>
      <c r="B44" t="s">
        <v>136</v>
      </c>
      <c r="C44" t="s">
        <v>137</v>
      </c>
      <c r="D44" t="s">
        <v>29</v>
      </c>
      <c r="F44">
        <v>207000</v>
      </c>
      <c r="J44">
        <v>0.05</v>
      </c>
      <c r="L44" s="5">
        <v>207000</v>
      </c>
      <c r="M44" s="13"/>
    </row>
    <row r="45" spans="1:13" x14ac:dyDescent="0.35">
      <c r="A45" t="s">
        <v>138</v>
      </c>
      <c r="B45" t="s">
        <v>139</v>
      </c>
      <c r="C45" t="s">
        <v>140</v>
      </c>
      <c r="D45" t="s">
        <v>39</v>
      </c>
      <c r="F45">
        <v>67000</v>
      </c>
      <c r="G45">
        <v>4800</v>
      </c>
      <c r="J45">
        <v>0.05</v>
      </c>
      <c r="K45" t="s">
        <v>141</v>
      </c>
      <c r="L45" s="4">
        <f>3590/0.05</f>
        <v>71800</v>
      </c>
      <c r="M45" s="17"/>
    </row>
    <row r="46" spans="1:13" x14ac:dyDescent="0.35">
      <c r="A46" t="s">
        <v>138</v>
      </c>
      <c r="B46" t="s">
        <v>142</v>
      </c>
      <c r="C46" t="s">
        <v>143</v>
      </c>
      <c r="D46" t="s">
        <v>144</v>
      </c>
      <c r="F46">
        <v>32500</v>
      </c>
      <c r="J46">
        <v>0.05</v>
      </c>
      <c r="K46" t="s">
        <v>145</v>
      </c>
      <c r="L46" s="5">
        <v>32500</v>
      </c>
      <c r="M46" s="14"/>
    </row>
    <row r="47" spans="1:13" x14ac:dyDescent="0.35">
      <c r="A47" t="s">
        <v>138</v>
      </c>
      <c r="B47" t="s">
        <v>146</v>
      </c>
      <c r="C47" t="s">
        <v>147</v>
      </c>
      <c r="D47" t="s">
        <v>29</v>
      </c>
      <c r="F47">
        <v>43353.85</v>
      </c>
      <c r="G47">
        <v>5462.35</v>
      </c>
      <c r="J47">
        <v>0.05</v>
      </c>
      <c r="K47" t="s">
        <v>148</v>
      </c>
      <c r="L47" s="5">
        <f>2440.81/0.05</f>
        <v>48816.2</v>
      </c>
      <c r="M47" s="15"/>
    </row>
    <row r="48" spans="1:13" x14ac:dyDescent="0.35">
      <c r="A48" t="s">
        <v>138</v>
      </c>
      <c r="B48" t="s">
        <v>149</v>
      </c>
      <c r="C48" t="s">
        <v>150</v>
      </c>
      <c r="D48" t="s">
        <v>29</v>
      </c>
      <c r="F48">
        <v>32109.5</v>
      </c>
      <c r="J48">
        <v>0.05</v>
      </c>
      <c r="K48" t="s">
        <v>151</v>
      </c>
      <c r="L48" s="5">
        <v>32109.5</v>
      </c>
      <c r="M48" s="15"/>
    </row>
    <row r="49" spans="1:13" x14ac:dyDescent="0.35">
      <c r="A49" t="s">
        <v>138</v>
      </c>
      <c r="B49" t="s">
        <v>152</v>
      </c>
      <c r="C49" t="s">
        <v>153</v>
      </c>
      <c r="D49" t="s">
        <v>39</v>
      </c>
      <c r="F49">
        <v>20000</v>
      </c>
      <c r="J49">
        <v>0.05</v>
      </c>
      <c r="K49" t="s">
        <v>154</v>
      </c>
      <c r="L49" s="5">
        <v>20000</v>
      </c>
      <c r="M49" s="15"/>
    </row>
    <row r="50" spans="1:13" x14ac:dyDescent="0.35">
      <c r="A50" t="s">
        <v>138</v>
      </c>
      <c r="B50" t="s">
        <v>155</v>
      </c>
      <c r="C50" t="s">
        <v>156</v>
      </c>
      <c r="D50" t="s">
        <v>21</v>
      </c>
      <c r="F50">
        <v>53000</v>
      </c>
      <c r="J50">
        <v>0.05</v>
      </c>
      <c r="K50" t="s">
        <v>157</v>
      </c>
      <c r="L50" s="5">
        <f>2650/0.05</f>
        <v>53000</v>
      </c>
      <c r="M50" s="15"/>
    </row>
    <row r="51" spans="1:13" x14ac:dyDescent="0.35">
      <c r="A51" t="s">
        <v>138</v>
      </c>
      <c r="B51" t="s">
        <v>158</v>
      </c>
      <c r="C51" t="s">
        <v>159</v>
      </c>
      <c r="D51" t="s">
        <v>160</v>
      </c>
      <c r="F51">
        <v>166860.6</v>
      </c>
      <c r="J51">
        <v>0.05</v>
      </c>
      <c r="K51" t="s">
        <v>161</v>
      </c>
      <c r="L51" s="6">
        <f>8343.03/0.05</f>
        <v>166860.6</v>
      </c>
      <c r="M51" s="18"/>
    </row>
    <row r="52" spans="1:13" x14ac:dyDescent="0.35">
      <c r="A52" t="s">
        <v>162</v>
      </c>
      <c r="B52" t="s">
        <v>163</v>
      </c>
      <c r="C52" t="s">
        <v>164</v>
      </c>
      <c r="D52" t="s">
        <v>46</v>
      </c>
      <c r="F52">
        <v>0</v>
      </c>
      <c r="J52">
        <v>0.05</v>
      </c>
      <c r="L52" s="7"/>
      <c r="M52" s="10">
        <v>0</v>
      </c>
    </row>
    <row r="53" spans="1:13" x14ac:dyDescent="0.35">
      <c r="A53" t="s">
        <v>11</v>
      </c>
      <c r="B53" t="s">
        <v>165</v>
      </c>
      <c r="C53" t="s">
        <v>166</v>
      </c>
      <c r="D53" t="s">
        <v>167</v>
      </c>
      <c r="F53">
        <v>40000</v>
      </c>
      <c r="J53">
        <v>0.05</v>
      </c>
      <c r="L53" s="7"/>
      <c r="M53" s="10">
        <v>30000</v>
      </c>
    </row>
    <row r="54" spans="1:13" x14ac:dyDescent="0.35">
      <c r="A54" t="s">
        <v>162</v>
      </c>
      <c r="B54" t="s">
        <v>168</v>
      </c>
      <c r="C54" t="s">
        <v>169</v>
      </c>
      <c r="L54" s="5"/>
      <c r="M54" s="13"/>
    </row>
  </sheetData>
  <conditionalFormatting sqref="L1">
    <cfRule type="expression" dxfId="4" priority="10">
      <formula>"IF($I:$I&lt;$H$3)"</formula>
    </cfRule>
  </conditionalFormatting>
  <conditionalFormatting sqref="L3">
    <cfRule type="expression" dxfId="3" priority="4">
      <formula>"IF($I:$I&lt;$H$3)"</formula>
    </cfRule>
  </conditionalFormatting>
  <conditionalFormatting sqref="L5:L44">
    <cfRule type="expression" dxfId="2" priority="2">
      <formula>"IF($I:$I&lt;$H$3)"</formula>
    </cfRule>
  </conditionalFormatting>
  <conditionalFormatting sqref="L51:L54">
    <cfRule type="expression" dxfId="1" priority="3">
      <formula>"IF($I:$I&lt;$H$3)"</formula>
    </cfRule>
  </conditionalFormatting>
  <conditionalFormatting sqref="M1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Eswin Paul</cp:lastModifiedBy>
  <dcterms:created xsi:type="dcterms:W3CDTF">2026-04-17T17:34:37Z</dcterms:created>
  <dcterms:modified xsi:type="dcterms:W3CDTF">2026-04-20T06:59:50Z</dcterms:modified>
</cp:coreProperties>
</file>